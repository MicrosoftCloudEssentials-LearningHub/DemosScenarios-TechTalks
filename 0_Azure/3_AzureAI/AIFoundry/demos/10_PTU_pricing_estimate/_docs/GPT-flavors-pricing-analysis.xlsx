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timnab\Downloads\"/>
    </mc:Choice>
  </mc:AlternateContent>
  <xr:revisionPtr revIDLastSave="0" documentId="13_ncr:1_{B8FD0CFA-0D88-4677-A9DB-6DB754B674B6}" xr6:coauthVersionLast="47" xr6:coauthVersionMax="47" xr10:uidLastSave="{00000000-0000-0000-0000-000000000000}"/>
  <bookViews>
    <workbookView xWindow="-108" yWindow="-108" windowWidth="23256" windowHeight="13896" xr2:uid="{844AA79C-D5DC-492E-A972-129E86CFBEE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 i="1" l="1"/>
  <c r="A6" i="1"/>
  <c r="H21" i="1"/>
  <c r="J13" i="1"/>
  <c r="I15" i="1"/>
  <c r="I13" i="1"/>
  <c r="H13" i="1"/>
  <c r="H14" i="1"/>
  <c r="J15" i="1"/>
  <c r="J14" i="1"/>
  <c r="I14" i="1"/>
  <c r="H15" i="1"/>
  <c r="C8" i="1"/>
  <c r="B13" i="1" l="1"/>
  <c r="B14" i="1"/>
  <c r="E14" i="1" s="1"/>
  <c r="B15" i="1"/>
  <c r="E15" i="1" s="1"/>
  <c r="C6" i="1"/>
  <c r="C7" i="1"/>
  <c r="C9" i="1"/>
  <c r="B21" i="1" l="1"/>
  <c r="E21" i="1" s="1"/>
  <c r="E13" i="1"/>
</calcChain>
</file>

<file path=xl/sharedStrings.xml><?xml version="1.0" encoding="utf-8"?>
<sst xmlns="http://schemas.openxmlformats.org/spreadsheetml/2006/main" count="47" uniqueCount="35">
  <si>
    <t>Input TPM per PTU</t>
  </si>
  <si>
    <t>PTU</t>
  </si>
  <si>
    <t>per month</t>
  </si>
  <si>
    <t>Monthly Reservation</t>
  </si>
  <si>
    <t>Yearly Reservation</t>
  </si>
  <si>
    <t xml:space="preserve">Model </t>
  </si>
  <si>
    <t>Minimum PTU Deployment</t>
  </si>
  <si>
    <t>Input / Output</t>
  </si>
  <si>
    <t>Tokens per minute (TPM)</t>
  </si>
  <si>
    <t>Input</t>
  </si>
  <si>
    <t>Output</t>
  </si>
  <si>
    <t>*All pricing is to be used in an estimated comparison manner only. </t>
  </si>
  <si>
    <t>**This document does not create any legal obligations on the part of either party. </t>
  </si>
  <si>
    <t>PTU Purchased</t>
  </si>
  <si>
    <t>Hourly</t>
  </si>
  <si>
    <t>per month (730 hours)</t>
  </si>
  <si>
    <t>per month (billed yearly)</t>
  </si>
  <si>
    <t>Tokens per month (730 hours)</t>
  </si>
  <si>
    <t>https://learn.microsoft.com/en-us/azure/ai-foundry/openai/how-to/provisioned-throughput-onboarding?view=foundry-classic#latest-azure-openai-models</t>
  </si>
  <si>
    <t>GPT-4.1 Mini Regional East US 2</t>
  </si>
  <si>
    <t>Output by 8</t>
  </si>
  <si>
    <t>gpt5</t>
  </si>
  <si>
    <t>gpt4</t>
  </si>
  <si>
    <t>Output by 4</t>
  </si>
  <si>
    <t>GPT-4.1 Mini Global</t>
  </si>
  <si>
    <t>GPT-5-mini Global</t>
  </si>
  <si>
    <t>GPT 5 flavors   (Global  PTU)</t>
  </si>
  <si>
    <t>GPT-4.1-nano Global</t>
  </si>
  <si>
    <t>GPT 4.1 flavors  (Global  and Regional PTU)</t>
  </si>
  <si>
    <t>As Dec 29, 2025</t>
  </si>
  <si>
    <t>For gpt4, 1 output token counts as 4 input tokens.  For 6000K input &amp; 1000K*4=4000K output for PTU thoughput</t>
  </si>
  <si>
    <t>for gpt-5, 1 output token counts as 8 input tokens towards your utilization limit. For 6000K input &amp; 1000K*8=8000K output for PTU thoughput</t>
  </si>
  <si>
    <t>I'm using the pricing list for now, but we should switch to the pricing calculator for accuracy. This is just an estimate and may change. We'll also need to review reservation prices once available.</t>
  </si>
  <si>
    <t>Input + Output TPM (see details above)  
Input TPM per PTU</t>
  </si>
  <si>
    <t>Input + Output TPM (see details above) 
Input TPM per PTU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</si>
</sst>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_);[Red]\(&quot;$&quot;#,##0\)"/>
    <numFmt numFmtId="43" formatCode="_(* #,##0.00_);_(* \(#,##0.00\);_(* &quot;-&quot;??_);_(@_)"/>
    <numFmt numFmtId="164" formatCode="_(* #,##0_);_(* \(#,##0\);_(* &quot;-&quot;??_);_(@_)"/>
    <numFmt numFmtId="165" formatCode="_(* #,##0.000_);_(* \(#,##0.000\);_(* &quot;-&quot;??_);_(@_)"/>
    <numFmt numFmtId="166" formatCode="0.000"/>
  </numFmts>
  <fonts count="7" x14ac:knownFonts="1">
    <font>
      <sz val="11"/>
      <color theme="1"/>
      <name val="Aptos Narrow"/>
      <family val="2"/>
      <scheme val="minor"/>
    </font>
    <font>
      <b/>
      <sz val="11"/>
      <color theme="1"/>
      <name val="Aptos Narrow"/>
      <family val="2"/>
      <scheme val="minor"/>
    </font>
    <font>
      <b/>
      <sz val="11"/>
      <color rgb="FFFF0000"/>
      <name val="Aptos Narrow"/>
      <family val="2"/>
      <scheme val="minor"/>
    </font>
    <font>
      <b/>
      <sz val="11"/>
      <color rgb="FFCD5937"/>
      <name val="Aptos Narrow"/>
      <family val="2"/>
      <scheme val="minor"/>
    </font>
    <font>
      <sz val="11"/>
      <color theme="1"/>
      <name val="Aptos Narrow"/>
      <family val="2"/>
      <scheme val="minor"/>
    </font>
    <font>
      <u/>
      <sz val="11"/>
      <color theme="10"/>
      <name val="Aptos Narrow"/>
      <family val="2"/>
      <scheme val="minor"/>
    </font>
    <font>
      <b/>
      <sz val="10"/>
      <color rgb="FFFF0000"/>
      <name val="Segoe UI"/>
      <family val="2"/>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3">
    <xf numFmtId="0" fontId="0" fillId="0" borderId="0"/>
    <xf numFmtId="43" fontId="4" fillId="0" borderId="0" applyFont="0" applyFill="0" applyBorder="0" applyAlignment="0" applyProtection="0"/>
    <xf numFmtId="0" fontId="5" fillId="0" borderId="0" applyNumberFormat="0" applyFill="0" applyBorder="0" applyAlignment="0" applyProtection="0"/>
  </cellStyleXfs>
  <cellXfs count="33">
    <xf numFmtId="0" fontId="0" fillId="0" borderId="0" xfId="0"/>
    <xf numFmtId="6" fontId="0" fillId="0" borderId="0" xfId="0" applyNumberFormat="1"/>
    <xf numFmtId="0" fontId="1" fillId="0" borderId="0" xfId="0" applyFont="1"/>
    <xf numFmtId="0" fontId="1" fillId="0" borderId="0" xfId="0" applyFont="1" applyAlignment="1">
      <alignment wrapText="1"/>
    </xf>
    <xf numFmtId="0" fontId="1" fillId="0" borderId="0" xfId="0" applyFont="1" applyAlignment="1">
      <alignment horizontal="right"/>
    </xf>
    <xf numFmtId="3" fontId="0" fillId="0" borderId="0" xfId="0" applyNumberFormat="1"/>
    <xf numFmtId="0" fontId="0" fillId="0" borderId="0" xfId="0" applyAlignment="1">
      <alignment wrapText="1"/>
    </xf>
    <xf numFmtId="0" fontId="5" fillId="0" borderId="0" xfId="2" applyAlignment="1">
      <alignment wrapText="1"/>
    </xf>
    <xf numFmtId="6" fontId="0" fillId="0" borderId="0" xfId="0" applyNumberFormat="1" applyAlignment="1">
      <alignment wrapText="1"/>
    </xf>
    <xf numFmtId="0" fontId="1" fillId="0" borderId="0" xfId="0" applyFont="1" applyAlignment="1">
      <alignment horizontal="right" wrapText="1"/>
    </xf>
    <xf numFmtId="164" fontId="0" fillId="0" borderId="0" xfId="1" applyNumberFormat="1" applyFont="1"/>
    <xf numFmtId="164" fontId="0" fillId="0" borderId="0" xfId="0" applyNumberFormat="1"/>
    <xf numFmtId="0" fontId="6" fillId="0" borderId="0" xfId="0" applyFont="1" applyAlignment="1">
      <alignment wrapText="1"/>
    </xf>
    <xf numFmtId="165" fontId="0" fillId="0" borderId="0" xfId="0" applyNumberFormat="1"/>
    <xf numFmtId="166" fontId="0" fillId="0" borderId="0" xfId="0" applyNumberFormat="1"/>
    <xf numFmtId="0" fontId="3" fillId="0" borderId="0" xfId="0" applyFont="1" applyAlignment="1">
      <alignment horizontal="left" vertical="center" wrapText="1"/>
    </xf>
    <xf numFmtId="0" fontId="2" fillId="0" borderId="0" xfId="0" applyFont="1"/>
    <xf numFmtId="164" fontId="0" fillId="0" borderId="0" xfId="1" applyNumberFormat="1" applyFont="1" applyAlignment="1">
      <alignment vertical="center"/>
    </xf>
    <xf numFmtId="0" fontId="0" fillId="0" borderId="0" xfId="0" applyAlignment="1">
      <alignment vertical="center"/>
    </xf>
    <xf numFmtId="3" fontId="0" fillId="0" borderId="0" xfId="0" applyNumberFormat="1" applyAlignment="1">
      <alignment vertical="center"/>
    </xf>
    <xf numFmtId="164" fontId="0" fillId="0" borderId="0" xfId="0" applyNumberFormat="1" applyAlignment="1">
      <alignment vertical="center"/>
    </xf>
    <xf numFmtId="0" fontId="1" fillId="0" borderId="0" xfId="0" applyFont="1" applyAlignment="1">
      <alignment vertical="center" wrapText="1"/>
    </xf>
    <xf numFmtId="0" fontId="0" fillId="2" borderId="0" xfId="0" applyFill="1"/>
    <xf numFmtId="0" fontId="2" fillId="0" borderId="0" xfId="0" applyFont="1" applyAlignment="1">
      <alignment horizontal="left" vertical="center" wrapText="1"/>
    </xf>
    <xf numFmtId="0" fontId="1" fillId="0" borderId="0" xfId="0" applyFont="1" applyAlignment="1">
      <alignment horizontal="center" vertical="center" wrapText="1"/>
    </xf>
    <xf numFmtId="0" fontId="5" fillId="0" borderId="0" xfId="2" applyAlignment="1">
      <alignment horizontal="center" vertical="center" wrapText="1"/>
    </xf>
    <xf numFmtId="0" fontId="3" fillId="0" borderId="0" xfId="0" applyFont="1" applyAlignment="1">
      <alignment horizontal="left" vertical="center" wrapText="1"/>
    </xf>
    <xf numFmtId="6" fontId="2" fillId="0" borderId="0" xfId="0" applyNumberFormat="1" applyFont="1" applyAlignment="1">
      <alignment horizontal="left" vertical="center" wrapText="1"/>
    </xf>
    <xf numFmtId="0" fontId="1" fillId="2" borderId="0" xfId="0" applyFont="1" applyFill="1" applyAlignment="1">
      <alignment wrapText="1"/>
    </xf>
    <xf numFmtId="0" fontId="0" fillId="2" borderId="0" xfId="0" applyFill="1"/>
    <xf numFmtId="0" fontId="2" fillId="0" borderId="0" xfId="0" applyFont="1"/>
    <xf numFmtId="0" fontId="0" fillId="0" borderId="0" xfId="0"/>
    <xf numFmtId="0" fontId="5" fillId="0" borderId="0" xfId="2" applyAlignment="1">
      <alignment horizontal="left" vertical="center" wrapText="1"/>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10</xdr:col>
      <xdr:colOff>141720</xdr:colOff>
      <xdr:row>11</xdr:row>
      <xdr:rowOff>12753</xdr:rowOff>
    </xdr:from>
    <xdr:to>
      <xdr:col>20</xdr:col>
      <xdr:colOff>439161</xdr:colOff>
      <xdr:row>28</xdr:row>
      <xdr:rowOff>59613</xdr:rowOff>
    </xdr:to>
    <xdr:pic>
      <xdr:nvPicPr>
        <xdr:cNvPr id="2" name="Picture 1">
          <a:extLst>
            <a:ext uri="{FF2B5EF4-FFF2-40B4-BE49-F238E27FC236}">
              <a16:creationId xmlns:a16="http://schemas.microsoft.com/office/drawing/2014/main" id="{0D55876B-AA2A-D29E-4F47-EFE43BA74812}"/>
            </a:ext>
          </a:extLst>
        </xdr:cNvPr>
        <xdr:cNvPicPr>
          <a:picLocks noChangeAspect="1"/>
        </xdr:cNvPicPr>
      </xdr:nvPicPr>
      <xdr:blipFill>
        <a:blip xmlns:r="http://schemas.openxmlformats.org/officeDocument/2006/relationships" r:embed="rId1"/>
        <a:stretch>
          <a:fillRect/>
        </a:stretch>
      </xdr:blipFill>
      <xdr:spPr>
        <a:xfrm>
          <a:off x="20250603" y="3001376"/>
          <a:ext cx="6433026" cy="4618860"/>
        </a:xfrm>
        <a:prstGeom prst="rect">
          <a:avLst/>
        </a:prstGeom>
      </xdr:spPr>
    </xdr:pic>
    <xdr:clientData/>
  </xdr:twoCellAnchor>
  <xdr:twoCellAnchor editAs="oneCell">
    <xdr:from>
      <xdr:col>10</xdr:col>
      <xdr:colOff>174256</xdr:colOff>
      <xdr:row>0</xdr:row>
      <xdr:rowOff>76300</xdr:rowOff>
    </xdr:from>
    <xdr:to>
      <xdr:col>21</xdr:col>
      <xdr:colOff>106772</xdr:colOff>
      <xdr:row>9</xdr:row>
      <xdr:rowOff>152789</xdr:rowOff>
    </xdr:to>
    <xdr:pic>
      <xdr:nvPicPr>
        <xdr:cNvPr id="5" name="Picture 4">
          <a:extLst>
            <a:ext uri="{FF2B5EF4-FFF2-40B4-BE49-F238E27FC236}">
              <a16:creationId xmlns:a16="http://schemas.microsoft.com/office/drawing/2014/main" id="{ABD0A767-E5AF-9325-B051-DD63383CDAD6}"/>
            </a:ext>
          </a:extLst>
        </xdr:cNvPr>
        <xdr:cNvPicPr>
          <a:picLocks noChangeAspect="1"/>
        </xdr:cNvPicPr>
      </xdr:nvPicPr>
      <xdr:blipFill>
        <a:blip xmlns:r="http://schemas.openxmlformats.org/officeDocument/2006/relationships" r:embed="rId2"/>
        <a:stretch>
          <a:fillRect/>
        </a:stretch>
      </xdr:blipFill>
      <xdr:spPr>
        <a:xfrm>
          <a:off x="20283139" y="76300"/>
          <a:ext cx="6681659" cy="2708853"/>
        </a:xfrm>
        <a:prstGeom prst="rect">
          <a:avLst/>
        </a:prstGeom>
      </xdr:spPr>
    </xdr:pic>
    <xdr:clientData/>
  </xdr:twoCellAnchor>
  <xdr:twoCellAnchor editAs="oneCell">
    <xdr:from>
      <xdr:col>3</xdr:col>
      <xdr:colOff>1849137</xdr:colOff>
      <xdr:row>56</xdr:row>
      <xdr:rowOff>84356</xdr:rowOff>
    </xdr:from>
    <xdr:to>
      <xdr:col>9</xdr:col>
      <xdr:colOff>2200977</xdr:colOff>
      <xdr:row>93</xdr:row>
      <xdr:rowOff>71960</xdr:rowOff>
    </xdr:to>
    <xdr:pic>
      <xdr:nvPicPr>
        <xdr:cNvPr id="6" name="Picture 5">
          <a:extLst>
            <a:ext uri="{FF2B5EF4-FFF2-40B4-BE49-F238E27FC236}">
              <a16:creationId xmlns:a16="http://schemas.microsoft.com/office/drawing/2014/main" id="{B7F46FA5-0AAE-3D83-D721-CA0AAE60A026}"/>
            </a:ext>
          </a:extLst>
        </xdr:cNvPr>
        <xdr:cNvPicPr>
          <a:picLocks noChangeAspect="1"/>
        </xdr:cNvPicPr>
      </xdr:nvPicPr>
      <xdr:blipFill>
        <a:blip xmlns:r="http://schemas.openxmlformats.org/officeDocument/2006/relationships" r:embed="rId3"/>
        <a:stretch>
          <a:fillRect/>
        </a:stretch>
      </xdr:blipFill>
      <xdr:spPr>
        <a:xfrm>
          <a:off x="8914955" y="14354538"/>
          <a:ext cx="10280931" cy="6822512"/>
        </a:xfrm>
        <a:prstGeom prst="rect">
          <a:avLst/>
        </a:prstGeom>
      </xdr:spPr>
    </xdr:pic>
    <xdr:clientData/>
  </xdr:twoCellAnchor>
  <xdr:twoCellAnchor editAs="oneCell">
    <xdr:from>
      <xdr:col>0</xdr:col>
      <xdr:colOff>114606</xdr:colOff>
      <xdr:row>21</xdr:row>
      <xdr:rowOff>113656</xdr:rowOff>
    </xdr:from>
    <xdr:to>
      <xdr:col>3</xdr:col>
      <xdr:colOff>1751735</xdr:colOff>
      <xdr:row>50</xdr:row>
      <xdr:rowOff>82515</xdr:rowOff>
    </xdr:to>
    <xdr:pic>
      <xdr:nvPicPr>
        <xdr:cNvPr id="8" name="Picture 7">
          <a:extLst>
            <a:ext uri="{FF2B5EF4-FFF2-40B4-BE49-F238E27FC236}">
              <a16:creationId xmlns:a16="http://schemas.microsoft.com/office/drawing/2014/main" id="{0511A7E4-44BC-45AE-8B1C-D0621C539DA0}"/>
            </a:ext>
          </a:extLst>
        </xdr:cNvPr>
        <xdr:cNvPicPr>
          <a:picLocks noChangeAspect="1"/>
        </xdr:cNvPicPr>
      </xdr:nvPicPr>
      <xdr:blipFill>
        <a:blip xmlns:r="http://schemas.openxmlformats.org/officeDocument/2006/relationships" r:embed="rId4"/>
        <a:stretch>
          <a:fillRect/>
        </a:stretch>
      </xdr:blipFill>
      <xdr:spPr>
        <a:xfrm>
          <a:off x="114606" y="6794447"/>
          <a:ext cx="8707780" cy="6135742"/>
        </a:xfrm>
        <a:prstGeom prst="rect">
          <a:avLst/>
        </a:prstGeom>
      </xdr:spPr>
    </xdr:pic>
    <xdr:clientData/>
  </xdr:twoCellAnchor>
  <xdr:twoCellAnchor editAs="oneCell">
    <xdr:from>
      <xdr:col>0</xdr:col>
      <xdr:colOff>0</xdr:colOff>
      <xdr:row>84</xdr:row>
      <xdr:rowOff>150251</xdr:rowOff>
    </xdr:from>
    <xdr:to>
      <xdr:col>3</xdr:col>
      <xdr:colOff>2013060</xdr:colOff>
      <xdr:row>122</xdr:row>
      <xdr:rowOff>102540</xdr:rowOff>
    </xdr:to>
    <xdr:pic>
      <xdr:nvPicPr>
        <xdr:cNvPr id="9" name="Picture 8">
          <a:extLst>
            <a:ext uri="{FF2B5EF4-FFF2-40B4-BE49-F238E27FC236}">
              <a16:creationId xmlns:a16="http://schemas.microsoft.com/office/drawing/2014/main" id="{E5EABA1D-D61F-7D18-0730-AC2D995D0246}"/>
            </a:ext>
          </a:extLst>
        </xdr:cNvPr>
        <xdr:cNvPicPr>
          <a:picLocks noChangeAspect="1"/>
        </xdr:cNvPicPr>
      </xdr:nvPicPr>
      <xdr:blipFill>
        <a:blip xmlns:r="http://schemas.openxmlformats.org/officeDocument/2006/relationships" r:embed="rId5"/>
        <a:stretch>
          <a:fillRect/>
        </a:stretch>
      </xdr:blipFill>
      <xdr:spPr>
        <a:xfrm>
          <a:off x="0" y="18527316"/>
          <a:ext cx="9078878" cy="6721224"/>
        </a:xfrm>
        <a:prstGeom prst="rect">
          <a:avLst/>
        </a:prstGeom>
      </xdr:spPr>
    </xdr:pic>
    <xdr:clientData/>
  </xdr:twoCellAnchor>
  <xdr:twoCellAnchor editAs="oneCell">
    <xdr:from>
      <xdr:col>9</xdr:col>
      <xdr:colOff>1762644</xdr:colOff>
      <xdr:row>30</xdr:row>
      <xdr:rowOff>6185</xdr:rowOff>
    </xdr:from>
    <xdr:to>
      <xdr:col>25</xdr:col>
      <xdr:colOff>352107</xdr:colOff>
      <xdr:row>58</xdr:row>
      <xdr:rowOff>93041</xdr:rowOff>
    </xdr:to>
    <xdr:pic>
      <xdr:nvPicPr>
        <xdr:cNvPr id="10" name="Picture 9">
          <a:extLst>
            <a:ext uri="{FF2B5EF4-FFF2-40B4-BE49-F238E27FC236}">
              <a16:creationId xmlns:a16="http://schemas.microsoft.com/office/drawing/2014/main" id="{15D54AE1-9810-D7D3-38E6-466BA36B1433}"/>
            </a:ext>
          </a:extLst>
        </xdr:cNvPr>
        <xdr:cNvPicPr>
          <a:picLocks noChangeAspect="1"/>
        </xdr:cNvPicPr>
      </xdr:nvPicPr>
      <xdr:blipFill>
        <a:blip xmlns:r="http://schemas.openxmlformats.org/officeDocument/2006/relationships" r:embed="rId6"/>
        <a:stretch>
          <a:fillRect/>
        </a:stretch>
      </xdr:blipFill>
      <xdr:spPr>
        <a:xfrm>
          <a:off x="18744358" y="7735042"/>
          <a:ext cx="10920009" cy="6103687"/>
        </a:xfrm>
        <a:prstGeom prst="rect">
          <a:avLst/>
        </a:prstGeom>
      </xdr:spPr>
    </xdr:pic>
    <xdr:clientData/>
  </xdr:twoCellAnchor>
  <xdr:twoCellAnchor editAs="oneCell">
    <xdr:from>
      <xdr:col>9</xdr:col>
      <xdr:colOff>2114829</xdr:colOff>
      <xdr:row>58</xdr:row>
      <xdr:rowOff>178006</xdr:rowOff>
    </xdr:from>
    <xdr:to>
      <xdr:col>27</xdr:col>
      <xdr:colOff>108677</xdr:colOff>
      <xdr:row>110</xdr:row>
      <xdr:rowOff>520</xdr:rowOff>
    </xdr:to>
    <xdr:pic>
      <xdr:nvPicPr>
        <xdr:cNvPr id="11" name="Picture 10">
          <a:extLst>
            <a:ext uri="{FF2B5EF4-FFF2-40B4-BE49-F238E27FC236}">
              <a16:creationId xmlns:a16="http://schemas.microsoft.com/office/drawing/2014/main" id="{B9DE43DB-C234-0DDF-AD94-44C35DA5D3A9}"/>
            </a:ext>
          </a:extLst>
        </xdr:cNvPr>
        <xdr:cNvPicPr>
          <a:picLocks noChangeAspect="1"/>
        </xdr:cNvPicPr>
      </xdr:nvPicPr>
      <xdr:blipFill>
        <a:blip xmlns:r="http://schemas.openxmlformats.org/officeDocument/2006/relationships" r:embed="rId7"/>
        <a:stretch>
          <a:fillRect/>
        </a:stretch>
      </xdr:blipFill>
      <xdr:spPr>
        <a:xfrm>
          <a:off x="19096543" y="13923694"/>
          <a:ext cx="11551511" cy="9085268"/>
        </a:xfrm>
        <a:prstGeom prst="rect">
          <a:avLst/>
        </a:prstGeom>
      </xdr:spPr>
    </xdr:pic>
    <xdr:clientData/>
  </xdr:twoCellAnchor>
  <xdr:twoCellAnchor editAs="oneCell">
    <xdr:from>
      <xdr:col>3</xdr:col>
      <xdr:colOff>1664385</xdr:colOff>
      <xdr:row>90</xdr:row>
      <xdr:rowOff>169380</xdr:rowOff>
    </xdr:from>
    <xdr:to>
      <xdr:col>9</xdr:col>
      <xdr:colOff>2725041</xdr:colOff>
      <xdr:row>107</xdr:row>
      <xdr:rowOff>142565</xdr:rowOff>
    </xdr:to>
    <xdr:pic>
      <xdr:nvPicPr>
        <xdr:cNvPr id="12" name="Picture 11">
          <a:extLst>
            <a:ext uri="{FF2B5EF4-FFF2-40B4-BE49-F238E27FC236}">
              <a16:creationId xmlns:a16="http://schemas.microsoft.com/office/drawing/2014/main" id="{0DEC9389-FFFB-4EBD-A06E-5D983D9605E0}"/>
            </a:ext>
          </a:extLst>
        </xdr:cNvPr>
        <xdr:cNvPicPr>
          <a:picLocks noChangeAspect="1"/>
        </xdr:cNvPicPr>
      </xdr:nvPicPr>
      <xdr:blipFill>
        <a:blip xmlns:r="http://schemas.openxmlformats.org/officeDocument/2006/relationships" r:embed="rId8"/>
        <a:stretch>
          <a:fillRect/>
        </a:stretch>
      </xdr:blipFill>
      <xdr:spPr>
        <a:xfrm>
          <a:off x="8730203" y="20720289"/>
          <a:ext cx="10989747" cy="3113549"/>
        </a:xfrm>
        <a:prstGeom prst="rect">
          <a:avLst/>
        </a:prstGeom>
      </xdr:spPr>
    </xdr:pic>
    <xdr:clientData/>
  </xdr:twoCellAnchor>
  <xdr:twoCellAnchor editAs="oneCell">
    <xdr:from>
      <xdr:col>3</xdr:col>
      <xdr:colOff>2132733</xdr:colOff>
      <xdr:row>22</xdr:row>
      <xdr:rowOff>145033</xdr:rowOff>
    </xdr:from>
    <xdr:to>
      <xdr:col>9</xdr:col>
      <xdr:colOff>1552989</xdr:colOff>
      <xdr:row>54</xdr:row>
      <xdr:rowOff>130344</xdr:rowOff>
    </xdr:to>
    <xdr:pic>
      <xdr:nvPicPr>
        <xdr:cNvPr id="13" name="Picture 12">
          <a:extLst>
            <a:ext uri="{FF2B5EF4-FFF2-40B4-BE49-F238E27FC236}">
              <a16:creationId xmlns:a16="http://schemas.microsoft.com/office/drawing/2014/main" id="{79473699-D487-206A-F3CB-459008B8D17F}"/>
            </a:ext>
          </a:extLst>
        </xdr:cNvPr>
        <xdr:cNvPicPr>
          <a:picLocks noChangeAspect="1"/>
        </xdr:cNvPicPr>
      </xdr:nvPicPr>
      <xdr:blipFill>
        <a:blip xmlns:r="http://schemas.openxmlformats.org/officeDocument/2006/relationships" r:embed="rId9"/>
        <a:stretch>
          <a:fillRect/>
        </a:stretch>
      </xdr:blipFill>
      <xdr:spPr>
        <a:xfrm>
          <a:off x="9202400" y="7101811"/>
          <a:ext cx="9340367" cy="6871533"/>
        </a:xfrm>
        <a:prstGeom prst="rect">
          <a:avLst/>
        </a:prstGeom>
      </xdr:spPr>
    </xdr:pic>
    <xdr:clientData/>
  </xdr:twoCellAnchor>
  <xdr:twoCellAnchor editAs="oneCell">
    <xdr:from>
      <xdr:col>0</xdr:col>
      <xdr:colOff>0</xdr:colOff>
      <xdr:row>51</xdr:row>
      <xdr:rowOff>15191</xdr:rowOff>
    </xdr:from>
    <xdr:to>
      <xdr:col>3</xdr:col>
      <xdr:colOff>1284111</xdr:colOff>
      <xdr:row>84</xdr:row>
      <xdr:rowOff>1676</xdr:rowOff>
    </xdr:to>
    <xdr:pic>
      <xdr:nvPicPr>
        <xdr:cNvPr id="14" name="Picture 13">
          <a:extLst>
            <a:ext uri="{FF2B5EF4-FFF2-40B4-BE49-F238E27FC236}">
              <a16:creationId xmlns:a16="http://schemas.microsoft.com/office/drawing/2014/main" id="{AB4CA381-D4ED-D23E-37A7-E086496645C1}"/>
            </a:ext>
          </a:extLst>
        </xdr:cNvPr>
        <xdr:cNvPicPr>
          <a:picLocks noChangeAspect="1"/>
        </xdr:cNvPicPr>
      </xdr:nvPicPr>
      <xdr:blipFill>
        <a:blip xmlns:r="http://schemas.openxmlformats.org/officeDocument/2006/relationships" r:embed="rId10"/>
        <a:stretch>
          <a:fillRect/>
        </a:stretch>
      </xdr:blipFill>
      <xdr:spPr>
        <a:xfrm>
          <a:off x="0" y="13307858"/>
          <a:ext cx="8353778" cy="603504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learn.microsoft.com/en-us/azure/ai-foundry/openai/how-to/provisioned-throughput-onboarding?view=foundry-classic" TargetMode="External"/><Relationship Id="rId1" Type="http://schemas.openxmlformats.org/officeDocument/2006/relationships/hyperlink" Target="https://learn.microsoft.com/en-us/azure/ai-foundry/openai/how-to/provisioned-throughput-onboarding?view=foundry-classi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67F2E-31E5-4A24-9242-5CFE1BAD0657}">
  <dimension ref="A1:J48"/>
  <sheetViews>
    <sheetView tabSelected="1" zoomScale="77" workbookViewId="0">
      <selection activeCell="I8" sqref="I8:I9"/>
    </sheetView>
  </sheetViews>
  <sheetFormatPr defaultRowHeight="14.4" x14ac:dyDescent="0.3"/>
  <cols>
    <col min="1" max="1" width="29.88671875" customWidth="1"/>
    <col min="2" max="2" width="44.5546875" bestFit="1" customWidth="1"/>
    <col min="3" max="3" width="28.5546875" customWidth="1"/>
    <col min="4" max="4" width="38.44140625" bestFit="1" customWidth="1"/>
    <col min="5" max="5" width="13.5546875" customWidth="1"/>
    <col min="6" max="7" width="14.6640625" customWidth="1"/>
    <col min="8" max="8" width="21.109375" customWidth="1"/>
    <col min="9" max="9" width="42.109375" customWidth="1"/>
    <col min="10" max="10" width="45.5546875" style="6" customWidth="1"/>
  </cols>
  <sheetData>
    <row r="1" spans="1:10" x14ac:dyDescent="0.3">
      <c r="A1" t="s">
        <v>29</v>
      </c>
    </row>
    <row r="2" spans="1:10" x14ac:dyDescent="0.3">
      <c r="A2" s="26" t="s">
        <v>11</v>
      </c>
      <c r="B2" s="26"/>
      <c r="C2" s="26"/>
      <c r="D2" s="15"/>
    </row>
    <row r="3" spans="1:10" x14ac:dyDescent="0.3">
      <c r="A3" s="26" t="s">
        <v>12</v>
      </c>
      <c r="B3" s="26"/>
      <c r="C3" s="26"/>
      <c r="D3" s="15"/>
    </row>
    <row r="4" spans="1:10" x14ac:dyDescent="0.3">
      <c r="A4" s="15"/>
      <c r="B4" s="15"/>
      <c r="C4" s="15"/>
      <c r="D4" s="15"/>
    </row>
    <row r="5" spans="1:10" x14ac:dyDescent="0.3">
      <c r="A5" s="2" t="s">
        <v>8</v>
      </c>
      <c r="B5" s="2" t="s">
        <v>7</v>
      </c>
      <c r="C5" s="2" t="s">
        <v>17</v>
      </c>
      <c r="D5" s="2"/>
    </row>
    <row r="6" spans="1:10" x14ac:dyDescent="0.3">
      <c r="A6" s="10">
        <f>10000*600</f>
        <v>6000000</v>
      </c>
      <c r="B6" t="s">
        <v>9</v>
      </c>
      <c r="C6" s="5">
        <f>A6*730</f>
        <v>4380000000</v>
      </c>
      <c r="D6" s="5"/>
    </row>
    <row r="7" spans="1:10" x14ac:dyDescent="0.3">
      <c r="A7" s="10">
        <f>10000*100</f>
        <v>1000000</v>
      </c>
      <c r="B7" t="s">
        <v>10</v>
      </c>
      <c r="C7" s="5">
        <f>A7*730</f>
        <v>730000000</v>
      </c>
      <c r="D7" s="5"/>
    </row>
    <row r="8" spans="1:10" ht="36" customHeight="1" x14ac:dyDescent="0.3">
      <c r="A8" s="17" t="s">
        <v>22</v>
      </c>
      <c r="B8" s="18" t="s">
        <v>23</v>
      </c>
      <c r="C8" s="19">
        <f>A7*4</f>
        <v>4000000</v>
      </c>
      <c r="D8" s="19"/>
      <c r="E8" s="23" t="s">
        <v>30</v>
      </c>
      <c r="F8" s="23"/>
      <c r="G8" s="23"/>
      <c r="H8" s="23"/>
      <c r="I8" s="32" t="s">
        <v>18</v>
      </c>
    </row>
    <row r="9" spans="1:10" ht="73.2" customHeight="1" x14ac:dyDescent="0.3">
      <c r="A9" s="18" t="s">
        <v>21</v>
      </c>
      <c r="B9" s="18" t="s">
        <v>20</v>
      </c>
      <c r="C9" s="20">
        <f>A7*8</f>
        <v>8000000</v>
      </c>
      <c r="D9" s="20"/>
      <c r="E9" s="23" t="s">
        <v>31</v>
      </c>
      <c r="F9" s="23"/>
      <c r="G9" s="23"/>
      <c r="H9" s="23"/>
      <c r="I9" s="32"/>
    </row>
    <row r="10" spans="1:10" x14ac:dyDescent="0.3">
      <c r="C10" s="11"/>
      <c r="D10" s="11"/>
      <c r="I10" s="7"/>
    </row>
    <row r="11" spans="1:10" x14ac:dyDescent="0.3">
      <c r="A11" s="28" t="s">
        <v>28</v>
      </c>
      <c r="B11" s="29"/>
      <c r="C11" s="29"/>
      <c r="D11" s="22"/>
    </row>
    <row r="12" spans="1:10" ht="48.75" customHeight="1" x14ac:dyDescent="0.3">
      <c r="A12" s="21" t="s">
        <v>5</v>
      </c>
      <c r="B12" s="21" t="s">
        <v>33</v>
      </c>
      <c r="C12" s="24" t="s">
        <v>0</v>
      </c>
      <c r="D12" s="24"/>
      <c r="E12" s="21" t="s">
        <v>1</v>
      </c>
      <c r="F12" s="21" t="s">
        <v>6</v>
      </c>
      <c r="G12" s="21" t="s">
        <v>13</v>
      </c>
      <c r="H12" s="21" t="s">
        <v>14</v>
      </c>
      <c r="I12" s="21" t="s">
        <v>3</v>
      </c>
      <c r="J12" s="21" t="s">
        <v>4</v>
      </c>
    </row>
    <row r="13" spans="1:10" ht="20.399999999999999" customHeight="1" x14ac:dyDescent="0.3">
      <c r="A13" t="s">
        <v>27</v>
      </c>
      <c r="B13" s="11">
        <f>A6+C8</f>
        <v>10000000</v>
      </c>
      <c r="C13">
        <v>59400</v>
      </c>
      <c r="D13" s="25" t="s">
        <v>18</v>
      </c>
      <c r="E13" s="13">
        <f>B13/C13</f>
        <v>168.35016835016836</v>
      </c>
      <c r="F13">
        <v>25</v>
      </c>
      <c r="G13">
        <v>200</v>
      </c>
      <c r="H13" s="1">
        <f>G13*730*(1)</f>
        <v>146000</v>
      </c>
      <c r="I13" s="1">
        <f>G13*260</f>
        <v>52000</v>
      </c>
      <c r="J13" s="8">
        <f>G13*221</f>
        <v>44200</v>
      </c>
    </row>
    <row r="14" spans="1:10" ht="22.8" customHeight="1" x14ac:dyDescent="0.3">
      <c r="A14" t="s">
        <v>24</v>
      </c>
      <c r="B14" s="11">
        <f>A6+C8</f>
        <v>10000000</v>
      </c>
      <c r="C14">
        <v>14900</v>
      </c>
      <c r="D14" s="25"/>
      <c r="E14" s="14">
        <f>B14/C14</f>
        <v>671.14093959731542</v>
      </c>
      <c r="F14">
        <v>25</v>
      </c>
      <c r="G14">
        <v>700</v>
      </c>
      <c r="H14" s="1">
        <f>G14*730*(0.2+0.8)</f>
        <v>511000</v>
      </c>
      <c r="I14" s="1">
        <f>G14*260</f>
        <v>182000</v>
      </c>
      <c r="J14" s="8">
        <f>G14*221</f>
        <v>154700</v>
      </c>
    </row>
    <row r="15" spans="1:10" ht="28.2" customHeight="1" x14ac:dyDescent="0.3">
      <c r="A15" t="s">
        <v>19</v>
      </c>
      <c r="B15" s="11">
        <f>A6+C8</f>
        <v>10000000</v>
      </c>
      <c r="C15">
        <v>14900</v>
      </c>
      <c r="D15" s="25"/>
      <c r="E15" s="13">
        <f>B15/C15</f>
        <v>671.14093959731542</v>
      </c>
      <c r="F15">
        <v>25</v>
      </c>
      <c r="G15">
        <v>700</v>
      </c>
      <c r="H15" s="1">
        <f>G15*730*(0.4+1.6)</f>
        <v>1022000</v>
      </c>
      <c r="I15" s="1">
        <f>G15*286</f>
        <v>200200</v>
      </c>
      <c r="J15" s="8">
        <f>G15*243</f>
        <v>170100</v>
      </c>
    </row>
    <row r="16" spans="1:10" x14ac:dyDescent="0.3">
      <c r="H16" s="4" t="s">
        <v>15</v>
      </c>
      <c r="I16" s="4" t="s">
        <v>2</v>
      </c>
      <c r="J16" s="9" t="s">
        <v>16</v>
      </c>
    </row>
    <row r="17" spans="1:10" x14ac:dyDescent="0.3">
      <c r="B17" s="16"/>
      <c r="C17" s="16"/>
      <c r="D17" s="16"/>
      <c r="E17" s="16"/>
      <c r="F17" s="16"/>
      <c r="G17" s="16"/>
      <c r="H17" s="16"/>
      <c r="J17" s="3"/>
    </row>
    <row r="18" spans="1:10" ht="15" customHeight="1" x14ac:dyDescent="0.35">
      <c r="A18" s="12"/>
      <c r="B18" s="12"/>
      <c r="C18" s="12"/>
      <c r="D18" s="12"/>
      <c r="E18" s="12"/>
      <c r="F18" s="12"/>
      <c r="G18" s="12"/>
      <c r="H18" s="12"/>
      <c r="I18" s="12"/>
    </row>
    <row r="19" spans="1:10" ht="14.4" customHeight="1" x14ac:dyDescent="0.35">
      <c r="A19" s="28" t="s">
        <v>26</v>
      </c>
      <c r="B19" s="29"/>
      <c r="C19" s="29"/>
      <c r="D19" s="22"/>
      <c r="E19" s="12"/>
      <c r="F19" s="12"/>
      <c r="G19" s="12"/>
      <c r="H19" s="12"/>
      <c r="I19" s="12"/>
    </row>
    <row r="20" spans="1:10" ht="28.8" x14ac:dyDescent="0.3">
      <c r="A20" s="3" t="s">
        <v>5</v>
      </c>
      <c r="B20" s="3" t="s">
        <v>34</v>
      </c>
      <c r="C20" s="3" t="s">
        <v>0</v>
      </c>
      <c r="D20" s="3"/>
      <c r="E20" s="3" t="s">
        <v>1</v>
      </c>
      <c r="F20" s="3" t="s">
        <v>6</v>
      </c>
      <c r="G20" s="3" t="s">
        <v>13</v>
      </c>
      <c r="H20" s="3" t="s">
        <v>14</v>
      </c>
      <c r="I20" s="3" t="s">
        <v>3</v>
      </c>
      <c r="J20" s="3" t="s">
        <v>4</v>
      </c>
    </row>
    <row r="21" spans="1:10" ht="57" customHeight="1" x14ac:dyDescent="0.3">
      <c r="A21" t="s">
        <v>25</v>
      </c>
      <c r="B21" s="11">
        <f>A6+C9</f>
        <v>14000000</v>
      </c>
      <c r="C21">
        <v>23750</v>
      </c>
      <c r="E21" s="14">
        <f>B21/C21</f>
        <v>589.47368421052636</v>
      </c>
      <c r="F21">
        <v>25</v>
      </c>
      <c r="G21">
        <v>600</v>
      </c>
      <c r="H21" s="1">
        <f>G21*730*(0.25+2)</f>
        <v>985500</v>
      </c>
      <c r="I21" s="27" t="s">
        <v>32</v>
      </c>
      <c r="J21" s="27"/>
    </row>
    <row r="22" spans="1:10" x14ac:dyDescent="0.3">
      <c r="H22" s="4" t="s">
        <v>15</v>
      </c>
      <c r="I22" s="4" t="s">
        <v>2</v>
      </c>
      <c r="J22" s="9" t="s">
        <v>16</v>
      </c>
    </row>
    <row r="23" spans="1:10" x14ac:dyDescent="0.3">
      <c r="A23" s="30"/>
      <c r="B23" s="30"/>
      <c r="C23" s="30"/>
      <c r="D23" s="30"/>
      <c r="E23" s="30"/>
      <c r="F23" s="30"/>
      <c r="G23" s="30"/>
      <c r="H23" s="30"/>
      <c r="I23" s="31"/>
      <c r="J23" s="3"/>
    </row>
    <row r="47" ht="39" customHeight="1" x14ac:dyDescent="0.3"/>
    <row r="48" ht="70.5" customHeight="1" x14ac:dyDescent="0.3"/>
  </sheetData>
  <mergeCells count="11">
    <mergeCell ref="I21:J21"/>
    <mergeCell ref="A19:C19"/>
    <mergeCell ref="A11:C11"/>
    <mergeCell ref="A23:I23"/>
    <mergeCell ref="I8:I9"/>
    <mergeCell ref="E8:H8"/>
    <mergeCell ref="E9:H9"/>
    <mergeCell ref="C12:D12"/>
    <mergeCell ref="D13:D15"/>
    <mergeCell ref="A2:C2"/>
    <mergeCell ref="A3:C3"/>
  </mergeCells>
  <hyperlinks>
    <hyperlink ref="I8" r:id="rId1" location="latest-azure-openai-models" xr:uid="{14248C23-88F1-4629-AC56-4F86BA8633F1}"/>
    <hyperlink ref="D13" r:id="rId2" location="latest-azure-openai-models" xr:uid="{684E4B67-A06E-4A46-9BA9-220E2A5BBF6D}"/>
  </hyperlinks>
  <pageMargins left="0.7" right="0.7" top="0.75" bottom="0.75" header="0.3" footer="0.3"/>
  <ignoredErrors>
    <ignoredError sqref="I15:J15" formula="1"/>
  </ignoredErrors>
  <drawing r:id="rId3"/>
</worksheet>
</file>

<file path=docMetadata/LabelInfo.xml><?xml version="1.0" encoding="utf-8"?>
<clbl:labelList xmlns:clbl="http://schemas.microsoft.com/office/2020/mipLabelMetadata">
  <clbl:label id="{f42aa342-8706-4288-bd11-ebb85995028c}" enabled="1" method="Privilege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Saurabh Seth</dc:creator>
  <cp:lastModifiedBy>Timna Brown</cp:lastModifiedBy>
  <dcterms:created xsi:type="dcterms:W3CDTF">2025-07-31T15:34:17Z</dcterms:created>
  <dcterms:modified xsi:type="dcterms:W3CDTF">2025-12-29T21:29:53Z</dcterms:modified>
</cp:coreProperties>
</file>